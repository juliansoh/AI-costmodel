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4"/>
  <workbookPr/>
  <mc:AlternateContent xmlns:mc="http://schemas.openxmlformats.org/markup-compatibility/2006">
    <mc:Choice Requires="x15">
      <x15ac:absPath xmlns:x15ac="http://schemas.microsoft.com/office/spreadsheetml/2010/11/ac" url="/Users/juliansoh/Documents/dev/AI-costmodel/"/>
    </mc:Choice>
  </mc:AlternateContent>
  <xr:revisionPtr revIDLastSave="0" documentId="8_{E2B37794-9290-8049-B48C-8ADA2A394F90}" xr6:coauthVersionLast="47" xr6:coauthVersionMax="47" xr10:uidLastSave="{00000000-0000-0000-0000-000000000000}"/>
  <bookViews>
    <workbookView xWindow="39280" yWindow="-7420" windowWidth="54420" windowHeight="29640" xr2:uid="{AFF08B11-DFB4-F944-8488-EA5A2D704B8D}"/>
  </bookViews>
  <sheets>
    <sheet name="Estim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D3" i="1"/>
  <c r="L12" i="1"/>
  <c r="L15" i="1" s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Q34" i="1" s="1"/>
  <c r="Q35" i="1" s="1"/>
  <c r="F45" i="1"/>
  <c r="N34" i="1" s="1"/>
  <c r="N35" i="1" s="1"/>
  <c r="G44" i="1"/>
  <c r="F44" i="1"/>
  <c r="G43" i="1"/>
  <c r="F43" i="1"/>
  <c r="G20" i="1"/>
  <c r="I20" i="1" s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1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N30" i="1" s="1"/>
  <c r="N31" i="1" s="1"/>
  <c r="D14" i="1"/>
  <c r="D13" i="1"/>
  <c r="D12" i="1"/>
  <c r="D11" i="1"/>
  <c r="I19" i="1" l="1"/>
  <c r="Q30" i="1"/>
  <c r="Q31" i="1" s="1"/>
  <c r="D61" i="1"/>
  <c r="C61" i="1"/>
  <c r="B61" i="1"/>
  <c r="A61" i="1"/>
  <c r="D60" i="1"/>
  <c r="C60" i="1"/>
  <c r="B60" i="1"/>
  <c r="A60" i="1"/>
  <c r="D59" i="1"/>
  <c r="C59" i="1"/>
  <c r="B59" i="1"/>
  <c r="A59" i="1"/>
  <c r="D58" i="1"/>
  <c r="C58" i="1"/>
  <c r="B58" i="1"/>
  <c r="A58" i="1"/>
  <c r="D57" i="1"/>
  <c r="C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D19" i="1"/>
  <c r="C19" i="1"/>
  <c r="B19" i="1"/>
</calcChain>
</file>

<file path=xl/sharedStrings.xml><?xml version="1.0" encoding="utf-8"?>
<sst xmlns="http://schemas.openxmlformats.org/spreadsheetml/2006/main" count="73" uniqueCount="50">
  <si>
    <t>Model</t>
  </si>
  <si>
    <t>TPM/PTU</t>
  </si>
  <si>
    <t>Reference</t>
  </si>
  <si>
    <t>Input</t>
  </si>
  <si>
    <t>Output</t>
  </si>
  <si>
    <t>Total</t>
  </si>
  <si>
    <t>GPT-4o</t>
  </si>
  <si>
    <t>https://learn.microsoft.com/en-us/azure/ai-services/openai/concepts/provisioned-throughput</t>
  </si>
  <si>
    <t>Deployment Type</t>
  </si>
  <si>
    <t>Minimums/Increments</t>
  </si>
  <si>
    <t>Regional</t>
  </si>
  <si>
    <t>DataZone</t>
  </si>
  <si>
    <t>Use Case</t>
  </si>
  <si>
    <t>Estimated TPMs</t>
  </si>
  <si>
    <t>Calls per minute</t>
  </si>
  <si>
    <t>Customer</t>
  </si>
  <si>
    <t>Peak</t>
  </si>
  <si>
    <t>Average</t>
  </si>
  <si>
    <t>Notes</t>
  </si>
  <si>
    <t>3 minute usage with a peak of 149 users in that window. Not all those users may be using GenAI capabilities.</t>
  </si>
  <si>
    <t>RAG</t>
  </si>
  <si>
    <t>But for this scenario, let's assume they are. Therefore the number of peak users per minute is</t>
  </si>
  <si>
    <t>Basic Chat</t>
  </si>
  <si>
    <t>per minute</t>
  </si>
  <si>
    <t>Summarization</t>
  </si>
  <si>
    <t>Let's use a 75% rule that takes into consideration the concurrency vs simultaneous nature of calls, and to account for users not using GenAI</t>
  </si>
  <si>
    <t>Classification</t>
  </si>
  <si>
    <t>So the capacity planning will be for</t>
  </si>
  <si>
    <t>Regional PTU Model</t>
  </si>
  <si>
    <t>Max calls/users per minute</t>
  </si>
  <si>
    <t>Monthly cost</t>
  </si>
  <si>
    <t>PTUs available</t>
  </si>
  <si>
    <t>Without annual RI</t>
  </si>
  <si>
    <t>With Annual RI</t>
  </si>
  <si>
    <t>without RI</t>
  </si>
  <si>
    <t>with RI</t>
  </si>
  <si>
    <t>Cost per user</t>
  </si>
  <si>
    <t>to breakeven</t>
  </si>
  <si>
    <t>DataZone PTU Model</t>
  </si>
  <si>
    <t>Cusomers' usage data</t>
  </si>
  <si>
    <t>Site/customer/product 2</t>
  </si>
  <si>
    <t>Site/customer/product 1</t>
  </si>
  <si>
    <t>Customer pricing scenarios</t>
  </si>
  <si>
    <t>Currently, XXX charge customers by monthly active users.</t>
  </si>
  <si>
    <t>Using the actual usage data for the month of October, the monthly active users is</t>
  </si>
  <si>
    <t>Option 1: 50 PTUs for Site/customer/product 1</t>
  </si>
  <si>
    <t>Option 2: 45 PTUs for site/customer/product 1</t>
  </si>
  <si>
    <t>COGs (PTUs)</t>
  </si>
  <si>
    <t>Customer's use case discussed on &lt;date&gt;</t>
  </si>
  <si>
    <t>Below is a screenshot of performance data. PTUs should generally be faster than PayGo tokens because of the dedicated hardware. This is an SLA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</si>
</sst>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4" fontId="0" fillId="0" borderId="0" xfId="1" applyNumberFormat="1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164" fontId="0" fillId="0" borderId="0" xfId="0" applyNumberFormat="1"/>
    <xf numFmtId="6" fontId="0" fillId="0" borderId="0" xfId="0" applyNumberFormat="1"/>
    <xf numFmtId="1" fontId="0" fillId="4" borderId="0" xfId="0" applyNumberFormat="1" applyFill="1"/>
    <xf numFmtId="1" fontId="0" fillId="5" borderId="0" xfId="0" applyNumberFormat="1" applyFill="1"/>
    <xf numFmtId="44" fontId="0" fillId="0" borderId="0" xfId="0" applyNumberFormat="1"/>
    <xf numFmtId="0" fontId="3" fillId="0" borderId="0" xfId="2"/>
    <xf numFmtId="3" fontId="0" fillId="0" borderId="0" xfId="0" applyNumberFormat="1"/>
    <xf numFmtId="0" fontId="2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16</xdr:row>
      <xdr:rowOff>0</xdr:rowOff>
    </xdr:from>
    <xdr:to>
      <xdr:col>20</xdr:col>
      <xdr:colOff>143329</xdr:colOff>
      <xdr:row>22</xdr:row>
      <xdr:rowOff>53553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1E8FC-D9C8-0F9D-65A7-F5796082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3500" y="3193143"/>
          <a:ext cx="7772400" cy="1250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earn.microsoft.com/en-us/azure/ai-services/openai/concepts/provisioned-through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2F8E-6811-C94B-95FB-961EB01E1102}">
  <dimension ref="A1:X62"/>
  <sheetViews>
    <sheetView tabSelected="1" zoomScale="140" zoomScaleNormal="140" workbookViewId="0">
      <selection activeCell="I13" sqref="I13"/>
    </sheetView>
  </sheetViews>
  <sheetFormatPr baseColWidth="10" defaultColWidth="11" defaultRowHeight="16" x14ac:dyDescent="0.2"/>
  <cols>
    <col min="1" max="1" width="17.5" customWidth="1"/>
    <col min="3" max="3" width="14" customWidth="1"/>
    <col min="4" max="4" width="13.33203125" bestFit="1" customWidth="1"/>
    <col min="5" max="5" width="13.83203125" customWidth="1"/>
    <col min="6" max="6" width="24.5" customWidth="1"/>
    <col min="7" max="7" width="12.83203125" bestFit="1" customWidth="1"/>
    <col min="13" max="13" width="12.5" customWidth="1"/>
  </cols>
  <sheetData>
    <row r="1" spans="1:13" x14ac:dyDescent="0.2">
      <c r="A1" s="1" t="s">
        <v>0</v>
      </c>
      <c r="B1" s="15" t="s">
        <v>1</v>
      </c>
      <c r="C1" s="15"/>
      <c r="D1" s="15"/>
      <c r="E1" s="1" t="s">
        <v>2</v>
      </c>
    </row>
    <row r="2" spans="1:13" x14ac:dyDescent="0.2">
      <c r="A2" s="1"/>
      <c r="B2" s="1" t="s">
        <v>3</v>
      </c>
      <c r="C2" s="1" t="s">
        <v>4</v>
      </c>
      <c r="D2" s="1" t="s">
        <v>5</v>
      </c>
      <c r="E2" s="1"/>
    </row>
    <row r="3" spans="1:13" x14ac:dyDescent="0.2">
      <c r="A3" t="s">
        <v>6</v>
      </c>
      <c r="B3">
        <v>2500</v>
      </c>
      <c r="C3">
        <v>833</v>
      </c>
      <c r="D3">
        <f>B3+C3</f>
        <v>3333</v>
      </c>
      <c r="E3" s="13" t="s">
        <v>7</v>
      </c>
    </row>
    <row r="5" spans="1:13" x14ac:dyDescent="0.2">
      <c r="A5" s="1" t="s">
        <v>8</v>
      </c>
      <c r="B5" s="1" t="s">
        <v>9</v>
      </c>
    </row>
    <row r="6" spans="1:13" x14ac:dyDescent="0.2">
      <c r="A6" t="s">
        <v>10</v>
      </c>
      <c r="B6">
        <v>50</v>
      </c>
    </row>
    <row r="7" spans="1:13" x14ac:dyDescent="0.2">
      <c r="A7" t="s">
        <v>11</v>
      </c>
      <c r="B7">
        <v>15</v>
      </c>
    </row>
    <row r="9" spans="1:13" x14ac:dyDescent="0.2">
      <c r="A9" s="1" t="s">
        <v>12</v>
      </c>
      <c r="B9" s="15" t="s">
        <v>13</v>
      </c>
      <c r="C9" s="15"/>
      <c r="D9" s="15"/>
      <c r="F9" s="1" t="s">
        <v>39</v>
      </c>
      <c r="G9" s="15" t="s">
        <v>14</v>
      </c>
      <c r="H9" s="15"/>
      <c r="L9" s="1" t="s">
        <v>48</v>
      </c>
    </row>
    <row r="10" spans="1:13" x14ac:dyDescent="0.2">
      <c r="B10" s="1" t="s">
        <v>3</v>
      </c>
      <c r="C10" s="1" t="s">
        <v>4</v>
      </c>
      <c r="D10" s="1" t="s">
        <v>5</v>
      </c>
      <c r="F10" s="1" t="s">
        <v>15</v>
      </c>
      <c r="G10" s="1" t="s">
        <v>16</v>
      </c>
      <c r="H10" s="1" t="s">
        <v>17</v>
      </c>
      <c r="I10" s="1" t="s">
        <v>18</v>
      </c>
      <c r="L10" t="s">
        <v>19</v>
      </c>
    </row>
    <row r="11" spans="1:13" x14ac:dyDescent="0.2">
      <c r="A11" t="s">
        <v>20</v>
      </c>
      <c r="B11">
        <v>3500</v>
      </c>
      <c r="C11">
        <v>300</v>
      </c>
      <c r="D11">
        <f>B11+C11</f>
        <v>3800</v>
      </c>
      <c r="F11" t="s">
        <v>41</v>
      </c>
      <c r="G11" s="4">
        <v>52</v>
      </c>
      <c r="H11" s="4">
        <v>29</v>
      </c>
      <c r="L11" t="s">
        <v>21</v>
      </c>
    </row>
    <row r="12" spans="1:13" x14ac:dyDescent="0.2">
      <c r="A12" t="s">
        <v>22</v>
      </c>
      <c r="B12">
        <v>500</v>
      </c>
      <c r="C12">
        <v>100</v>
      </c>
      <c r="D12">
        <f t="shared" ref="D12:D14" si="0">B12+C12</f>
        <v>600</v>
      </c>
      <c r="F12" t="s">
        <v>40</v>
      </c>
      <c r="G12" s="6">
        <v>675</v>
      </c>
      <c r="H12" s="6">
        <v>62</v>
      </c>
      <c r="L12" s="7">
        <f>149/3</f>
        <v>49.666666666666664</v>
      </c>
      <c r="M12" t="s">
        <v>23</v>
      </c>
    </row>
    <row r="13" spans="1:13" x14ac:dyDescent="0.2">
      <c r="A13" t="s">
        <v>24</v>
      </c>
      <c r="B13">
        <v>5000</v>
      </c>
      <c r="C13">
        <v>300</v>
      </c>
      <c r="D13">
        <f t="shared" si="0"/>
        <v>5300</v>
      </c>
      <c r="L13" t="s">
        <v>25</v>
      </c>
    </row>
    <row r="14" spans="1:13" x14ac:dyDescent="0.2">
      <c r="A14" t="s">
        <v>26</v>
      </c>
      <c r="B14">
        <v>3800</v>
      </c>
      <c r="C14">
        <v>10</v>
      </c>
      <c r="D14">
        <f t="shared" si="0"/>
        <v>3810</v>
      </c>
      <c r="L14" t="s">
        <v>27</v>
      </c>
    </row>
    <row r="15" spans="1:13" x14ac:dyDescent="0.2">
      <c r="L15" s="10">
        <f>0.75*L12</f>
        <v>37.25</v>
      </c>
      <c r="M15" t="s">
        <v>23</v>
      </c>
    </row>
    <row r="16" spans="1:13" x14ac:dyDescent="0.2">
      <c r="A16" s="1" t="s">
        <v>28</v>
      </c>
      <c r="F16" s="9">
        <v>260</v>
      </c>
      <c r="G16" s="9">
        <v>221</v>
      </c>
      <c r="L16" t="s">
        <v>49</v>
      </c>
    </row>
    <row r="17" spans="1:24" x14ac:dyDescent="0.2">
      <c r="A17" s="15" t="s">
        <v>29</v>
      </c>
      <c r="B17" s="15"/>
      <c r="C17" s="15"/>
      <c r="D17" s="15"/>
      <c r="F17" s="15" t="s">
        <v>30</v>
      </c>
      <c r="G17" s="15"/>
    </row>
    <row r="18" spans="1:24" x14ac:dyDescent="0.2">
      <c r="A18" s="1" t="s">
        <v>20</v>
      </c>
      <c r="B18" s="1" t="s">
        <v>22</v>
      </c>
      <c r="C18" s="1" t="s">
        <v>24</v>
      </c>
      <c r="D18" s="1" t="s">
        <v>26</v>
      </c>
      <c r="E18" s="1" t="s">
        <v>31</v>
      </c>
      <c r="F18" s="1" t="s">
        <v>32</v>
      </c>
      <c r="G18" s="1" t="s">
        <v>33</v>
      </c>
    </row>
    <row r="19" spans="1:24" x14ac:dyDescent="0.2">
      <c r="A19" s="5">
        <f>($D$3 * E19)/$D$11</f>
        <v>43.85526315789474</v>
      </c>
      <c r="B19" s="3">
        <f>($D$3 * E19)/$D$12</f>
        <v>277.75</v>
      </c>
      <c r="C19" s="3">
        <f>($D$3 * E19)/$D$13</f>
        <v>31.443396226415093</v>
      </c>
      <c r="D19" s="3">
        <f>($D$3 * E19)/$D$14</f>
        <v>43.740157480314963</v>
      </c>
      <c r="E19">
        <v>50</v>
      </c>
      <c r="F19" s="2">
        <f>260*E19</f>
        <v>13000</v>
      </c>
      <c r="G19" s="2">
        <f>E19*221</f>
        <v>11050</v>
      </c>
      <c r="I19" s="8">
        <f>G19*12</f>
        <v>132600</v>
      </c>
    </row>
    <row r="20" spans="1:24" x14ac:dyDescent="0.2">
      <c r="A20" s="3">
        <f>($D$3 * E20)/$D$11</f>
        <v>87.71052631578948</v>
      </c>
      <c r="B20" s="3">
        <f t="shared" ref="B20:B38" si="1">($D$3 * E20)/$D$12</f>
        <v>555.5</v>
      </c>
      <c r="C20" s="3">
        <f t="shared" ref="C20:C38" si="2">($D$3 * E20)/$D$13</f>
        <v>62.886792452830186</v>
      </c>
      <c r="D20" s="3">
        <f t="shared" ref="D20:D38" si="3">($D$3 * E20)/$D$14</f>
        <v>87.480314960629926</v>
      </c>
      <c r="E20">
        <v>100</v>
      </c>
      <c r="F20" s="2">
        <f t="shared" ref="F20:F38" si="4">260*E20</f>
        <v>26000</v>
      </c>
      <c r="G20" s="2">
        <f t="shared" ref="G20:G38" si="5">E20*221</f>
        <v>22100</v>
      </c>
      <c r="I20" s="8">
        <f>G20*12</f>
        <v>265200</v>
      </c>
    </row>
    <row r="21" spans="1:24" x14ac:dyDescent="0.2">
      <c r="A21" s="3">
        <f t="shared" ref="A21:A38" si="6">($D$3 * E21)/$D$11</f>
        <v>131.56578947368422</v>
      </c>
      <c r="B21" s="3">
        <f t="shared" si="1"/>
        <v>833.25</v>
      </c>
      <c r="C21" s="3">
        <f t="shared" si="2"/>
        <v>94.330188679245282</v>
      </c>
      <c r="D21" s="3">
        <f t="shared" si="3"/>
        <v>131.22047244094489</v>
      </c>
      <c r="E21">
        <v>150</v>
      </c>
      <c r="F21" s="2">
        <f t="shared" si="4"/>
        <v>39000</v>
      </c>
      <c r="G21" s="2">
        <f t="shared" si="5"/>
        <v>33150</v>
      </c>
    </row>
    <row r="22" spans="1:24" x14ac:dyDescent="0.2">
      <c r="A22" s="3">
        <f t="shared" si="6"/>
        <v>175.42105263157896</v>
      </c>
      <c r="B22" s="3">
        <f t="shared" si="1"/>
        <v>1111</v>
      </c>
      <c r="C22" s="3">
        <f t="shared" si="2"/>
        <v>125.77358490566037</v>
      </c>
      <c r="D22" s="3">
        <f t="shared" si="3"/>
        <v>174.96062992125985</v>
      </c>
      <c r="E22">
        <v>200</v>
      </c>
      <c r="F22" s="2">
        <f t="shared" si="4"/>
        <v>52000</v>
      </c>
      <c r="G22" s="2">
        <f t="shared" si="5"/>
        <v>44200</v>
      </c>
    </row>
    <row r="23" spans="1:24" x14ac:dyDescent="0.2">
      <c r="A23" s="3">
        <f t="shared" si="6"/>
        <v>219.27631578947367</v>
      </c>
      <c r="B23" s="3">
        <f t="shared" si="1"/>
        <v>1388.75</v>
      </c>
      <c r="C23" s="3">
        <f t="shared" si="2"/>
        <v>157.21698113207546</v>
      </c>
      <c r="D23" s="3">
        <f t="shared" si="3"/>
        <v>218.70078740157481</v>
      </c>
      <c r="E23">
        <v>250</v>
      </c>
      <c r="F23" s="2">
        <f t="shared" si="4"/>
        <v>65000</v>
      </c>
      <c r="G23" s="2">
        <f t="shared" si="5"/>
        <v>55250</v>
      </c>
    </row>
    <row r="24" spans="1:24" x14ac:dyDescent="0.2">
      <c r="A24" s="3">
        <f t="shared" si="6"/>
        <v>263.13157894736844</v>
      </c>
      <c r="B24" s="3">
        <f t="shared" si="1"/>
        <v>1666.5</v>
      </c>
      <c r="C24" s="3">
        <f t="shared" si="2"/>
        <v>188.66037735849056</v>
      </c>
      <c r="D24" s="3">
        <f t="shared" si="3"/>
        <v>262.44094488188978</v>
      </c>
      <c r="E24">
        <v>300</v>
      </c>
      <c r="F24" s="2">
        <f t="shared" si="4"/>
        <v>78000</v>
      </c>
      <c r="G24" s="2">
        <f t="shared" si="5"/>
        <v>66300</v>
      </c>
    </row>
    <row r="25" spans="1:24" x14ac:dyDescent="0.2">
      <c r="A25" s="3">
        <f t="shared" si="6"/>
        <v>306.98684210526318</v>
      </c>
      <c r="B25" s="3">
        <f t="shared" si="1"/>
        <v>1944.25</v>
      </c>
      <c r="C25" s="3">
        <f t="shared" si="2"/>
        <v>220.10377358490567</v>
      </c>
      <c r="D25" s="3">
        <f t="shared" si="3"/>
        <v>306.18110236220474</v>
      </c>
      <c r="E25">
        <v>350</v>
      </c>
      <c r="F25" s="2">
        <f t="shared" si="4"/>
        <v>91000</v>
      </c>
      <c r="G25" s="2">
        <f t="shared" si="5"/>
        <v>77350</v>
      </c>
      <c r="L25" s="1" t="s">
        <v>42</v>
      </c>
    </row>
    <row r="26" spans="1:24" x14ac:dyDescent="0.2">
      <c r="A26" s="3">
        <f t="shared" si="6"/>
        <v>350.84210526315792</v>
      </c>
      <c r="B26" s="3">
        <f t="shared" si="1"/>
        <v>2222</v>
      </c>
      <c r="C26" s="3">
        <f t="shared" si="2"/>
        <v>251.54716981132074</v>
      </c>
      <c r="D26" s="3">
        <f t="shared" si="3"/>
        <v>349.9212598425197</v>
      </c>
      <c r="E26">
        <v>400</v>
      </c>
      <c r="F26" s="2">
        <f t="shared" si="4"/>
        <v>104000</v>
      </c>
      <c r="G26" s="2">
        <f t="shared" si="5"/>
        <v>88400</v>
      </c>
      <c r="L26" t="s">
        <v>43</v>
      </c>
    </row>
    <row r="27" spans="1:24" x14ac:dyDescent="0.2">
      <c r="A27" s="3">
        <f t="shared" si="6"/>
        <v>394.69736842105266</v>
      </c>
      <c r="B27" s="3">
        <f t="shared" si="1"/>
        <v>2499.75</v>
      </c>
      <c r="C27" s="3">
        <f t="shared" si="2"/>
        <v>282.99056603773585</v>
      </c>
      <c r="D27" s="3">
        <f t="shared" si="3"/>
        <v>393.66141732283467</v>
      </c>
      <c r="E27">
        <v>450</v>
      </c>
      <c r="F27" s="2">
        <f t="shared" si="4"/>
        <v>117000</v>
      </c>
      <c r="G27" s="2">
        <f t="shared" si="5"/>
        <v>99450</v>
      </c>
      <c r="L27" t="s">
        <v>44</v>
      </c>
      <c r="R27">
        <v>914</v>
      </c>
    </row>
    <row r="28" spans="1:24" x14ac:dyDescent="0.2">
      <c r="A28" s="3">
        <f t="shared" si="6"/>
        <v>438.55263157894734</v>
      </c>
      <c r="B28" s="3">
        <f t="shared" si="1"/>
        <v>2777.5</v>
      </c>
      <c r="C28" s="3">
        <f t="shared" si="2"/>
        <v>314.43396226415092</v>
      </c>
      <c r="D28" s="3">
        <f t="shared" si="3"/>
        <v>437.40157480314963</v>
      </c>
      <c r="E28">
        <v>500</v>
      </c>
      <c r="F28" s="2">
        <f t="shared" si="4"/>
        <v>130000</v>
      </c>
      <c r="G28" s="2">
        <f t="shared" si="5"/>
        <v>110500</v>
      </c>
    </row>
    <row r="29" spans="1:24" x14ac:dyDescent="0.2">
      <c r="A29" s="3">
        <f t="shared" si="6"/>
        <v>482.40789473684208</v>
      </c>
      <c r="B29" s="3">
        <f t="shared" si="1"/>
        <v>3055.25</v>
      </c>
      <c r="C29" s="3">
        <f t="shared" si="2"/>
        <v>345.87735849056605</v>
      </c>
      <c r="D29" s="3">
        <f t="shared" si="3"/>
        <v>481.14173228346459</v>
      </c>
      <c r="E29">
        <v>550</v>
      </c>
      <c r="F29" s="2">
        <f t="shared" si="4"/>
        <v>143000</v>
      </c>
      <c r="G29" s="2">
        <f t="shared" si="5"/>
        <v>121550</v>
      </c>
      <c r="L29" t="s">
        <v>45</v>
      </c>
    </row>
    <row r="30" spans="1:24" x14ac:dyDescent="0.2">
      <c r="A30" s="3">
        <f t="shared" si="6"/>
        <v>526.26315789473688</v>
      </c>
      <c r="B30" s="3">
        <f t="shared" si="1"/>
        <v>3333</v>
      </c>
      <c r="C30" s="3">
        <f t="shared" si="2"/>
        <v>377.32075471698113</v>
      </c>
      <c r="D30" s="3">
        <f t="shared" si="3"/>
        <v>524.88188976377955</v>
      </c>
      <c r="E30">
        <v>600</v>
      </c>
      <c r="F30" s="2">
        <f t="shared" si="4"/>
        <v>156000</v>
      </c>
      <c r="G30" s="2">
        <f t="shared" si="5"/>
        <v>132600</v>
      </c>
      <c r="M30" t="s">
        <v>47</v>
      </c>
      <c r="N30" s="8">
        <f>F19</f>
        <v>13000</v>
      </c>
      <c r="O30" t="s">
        <v>34</v>
      </c>
      <c r="Q30" s="8">
        <f>G19</f>
        <v>11050</v>
      </c>
      <c r="R30" t="s">
        <v>35</v>
      </c>
    </row>
    <row r="31" spans="1:24" x14ac:dyDescent="0.2">
      <c r="A31" s="3">
        <f t="shared" si="6"/>
        <v>570.11842105263156</v>
      </c>
      <c r="B31" s="3">
        <f t="shared" si="1"/>
        <v>3610.75</v>
      </c>
      <c r="C31" s="3">
        <f t="shared" si="2"/>
        <v>408.7641509433962</v>
      </c>
      <c r="D31" s="3">
        <f t="shared" si="3"/>
        <v>568.62204724409446</v>
      </c>
      <c r="E31">
        <v>650</v>
      </c>
      <c r="F31" s="2">
        <f t="shared" si="4"/>
        <v>169000</v>
      </c>
      <c r="G31" s="2">
        <f t="shared" si="5"/>
        <v>143650</v>
      </c>
      <c r="M31" t="s">
        <v>36</v>
      </c>
      <c r="N31" s="12">
        <f>N30/R27</f>
        <v>14.223194748358862</v>
      </c>
      <c r="O31" t="s">
        <v>37</v>
      </c>
      <c r="Q31" s="12">
        <f>Q30/R27</f>
        <v>12.089715536105032</v>
      </c>
      <c r="R31" t="s">
        <v>37</v>
      </c>
    </row>
    <row r="32" spans="1:24" x14ac:dyDescent="0.2">
      <c r="A32" s="3">
        <f t="shared" si="6"/>
        <v>613.97368421052636</v>
      </c>
      <c r="B32" s="3">
        <f t="shared" si="1"/>
        <v>3888.5</v>
      </c>
      <c r="C32" s="3">
        <f t="shared" si="2"/>
        <v>440.20754716981133</v>
      </c>
      <c r="D32" s="3">
        <f t="shared" si="3"/>
        <v>612.36220472440948</v>
      </c>
      <c r="E32">
        <v>700</v>
      </c>
      <c r="F32" s="2">
        <f t="shared" si="4"/>
        <v>182000</v>
      </c>
      <c r="G32" s="2">
        <f t="shared" si="5"/>
        <v>154700</v>
      </c>
      <c r="X32" s="14"/>
    </row>
    <row r="33" spans="1:24" x14ac:dyDescent="0.2">
      <c r="A33" s="7">
        <f t="shared" si="6"/>
        <v>657.82894736842104</v>
      </c>
      <c r="B33" s="3">
        <f t="shared" si="1"/>
        <v>4166.25</v>
      </c>
      <c r="C33" s="3">
        <f t="shared" si="2"/>
        <v>471.65094339622641</v>
      </c>
      <c r="D33" s="3">
        <f t="shared" si="3"/>
        <v>656.10236220472439</v>
      </c>
      <c r="E33">
        <v>750</v>
      </c>
      <c r="F33" s="2">
        <f t="shared" si="4"/>
        <v>195000</v>
      </c>
      <c r="G33" s="2">
        <f t="shared" si="5"/>
        <v>165750</v>
      </c>
      <c r="L33" t="s">
        <v>46</v>
      </c>
    </row>
    <row r="34" spans="1:24" x14ac:dyDescent="0.2">
      <c r="A34" s="3">
        <f t="shared" si="6"/>
        <v>701.68421052631584</v>
      </c>
      <c r="B34" s="3">
        <f t="shared" si="1"/>
        <v>4444</v>
      </c>
      <c r="C34" s="3">
        <f t="shared" si="2"/>
        <v>503.09433962264148</v>
      </c>
      <c r="D34" s="3">
        <f t="shared" si="3"/>
        <v>699.84251968503941</v>
      </c>
      <c r="E34">
        <v>800</v>
      </c>
      <c r="F34" s="2">
        <f t="shared" si="4"/>
        <v>208000</v>
      </c>
      <c r="G34" s="2">
        <f t="shared" si="5"/>
        <v>176800</v>
      </c>
      <c r="M34" t="s">
        <v>47</v>
      </c>
      <c r="N34" s="8">
        <f>F45</f>
        <v>11700</v>
      </c>
      <c r="O34" t="s">
        <v>34</v>
      </c>
      <c r="Q34" s="8">
        <f>G45</f>
        <v>9945</v>
      </c>
      <c r="X34" s="14"/>
    </row>
    <row r="35" spans="1:24" x14ac:dyDescent="0.2">
      <c r="A35" s="3">
        <f t="shared" si="6"/>
        <v>745.53947368421052</v>
      </c>
      <c r="B35" s="3">
        <f t="shared" si="1"/>
        <v>4721.75</v>
      </c>
      <c r="C35" s="3">
        <f t="shared" si="2"/>
        <v>534.53773584905662</v>
      </c>
      <c r="D35" s="3">
        <f t="shared" si="3"/>
        <v>743.58267716535431</v>
      </c>
      <c r="E35">
        <v>850</v>
      </c>
      <c r="F35" s="2">
        <f t="shared" si="4"/>
        <v>221000</v>
      </c>
      <c r="G35" s="2">
        <f t="shared" si="5"/>
        <v>187850</v>
      </c>
      <c r="M35" t="s">
        <v>36</v>
      </c>
      <c r="N35" s="12">
        <f>N34/R27</f>
        <v>12.800875273522976</v>
      </c>
      <c r="O35" t="s">
        <v>37</v>
      </c>
      <c r="Q35" s="12">
        <f>Q34/R27</f>
        <v>10.880743982494529</v>
      </c>
      <c r="R35" t="s">
        <v>37</v>
      </c>
    </row>
    <row r="36" spans="1:24" x14ac:dyDescent="0.2">
      <c r="A36" s="3">
        <f t="shared" si="6"/>
        <v>789.39473684210532</v>
      </c>
      <c r="B36" s="3">
        <f t="shared" si="1"/>
        <v>4999.5</v>
      </c>
      <c r="C36" s="3">
        <f t="shared" si="2"/>
        <v>565.98113207547169</v>
      </c>
      <c r="D36" s="3">
        <f t="shared" si="3"/>
        <v>787.32283464566933</v>
      </c>
      <c r="E36">
        <v>900</v>
      </c>
      <c r="F36" s="2">
        <f t="shared" si="4"/>
        <v>234000</v>
      </c>
      <c r="G36" s="2">
        <f t="shared" si="5"/>
        <v>198900</v>
      </c>
    </row>
    <row r="37" spans="1:24" x14ac:dyDescent="0.2">
      <c r="A37" s="3">
        <f t="shared" si="6"/>
        <v>833.25</v>
      </c>
      <c r="B37" s="3">
        <f t="shared" si="1"/>
        <v>5277.25</v>
      </c>
      <c r="C37" s="3">
        <f t="shared" si="2"/>
        <v>597.42452830188677</v>
      </c>
      <c r="D37" s="3">
        <f t="shared" si="3"/>
        <v>831.06299212598424</v>
      </c>
      <c r="E37">
        <v>950</v>
      </c>
      <c r="F37" s="2">
        <f t="shared" si="4"/>
        <v>247000</v>
      </c>
      <c r="G37" s="2">
        <f t="shared" si="5"/>
        <v>209950</v>
      </c>
    </row>
    <row r="38" spans="1:24" x14ac:dyDescent="0.2">
      <c r="A38" s="3">
        <f t="shared" si="6"/>
        <v>877.10526315789468</v>
      </c>
      <c r="B38" s="3">
        <f t="shared" si="1"/>
        <v>5555</v>
      </c>
      <c r="C38" s="3">
        <f t="shared" si="2"/>
        <v>628.86792452830184</v>
      </c>
      <c r="D38" s="3">
        <f t="shared" si="3"/>
        <v>874.80314960629926</v>
      </c>
      <c r="E38">
        <v>1000</v>
      </c>
      <c r="F38" s="2">
        <f t="shared" si="4"/>
        <v>260000</v>
      </c>
      <c r="G38" s="2">
        <f t="shared" si="5"/>
        <v>221000</v>
      </c>
      <c r="X38" s="14"/>
    </row>
    <row r="40" spans="1:24" x14ac:dyDescent="0.2">
      <c r="A40" s="1" t="s">
        <v>38</v>
      </c>
    </row>
    <row r="41" spans="1:24" x14ac:dyDescent="0.2">
      <c r="A41" s="15" t="s">
        <v>29</v>
      </c>
      <c r="B41" s="15"/>
      <c r="C41" s="15"/>
      <c r="D41" s="15"/>
      <c r="F41" s="15" t="s">
        <v>30</v>
      </c>
      <c r="G41" s="15"/>
    </row>
    <row r="42" spans="1:24" x14ac:dyDescent="0.2">
      <c r="A42" s="1" t="s">
        <v>20</v>
      </c>
      <c r="B42" s="1" t="s">
        <v>22</v>
      </c>
      <c r="C42" s="1" t="s">
        <v>24</v>
      </c>
      <c r="D42" s="1" t="s">
        <v>26</v>
      </c>
      <c r="E42" s="1" t="s">
        <v>31</v>
      </c>
      <c r="F42" s="1" t="s">
        <v>32</v>
      </c>
      <c r="G42" s="1" t="s">
        <v>33</v>
      </c>
    </row>
    <row r="43" spans="1:24" x14ac:dyDescent="0.2">
      <c r="A43" s="3">
        <f>($D$3 * E43)/$D$11</f>
        <v>13.156578947368422</v>
      </c>
      <c r="B43" s="3">
        <f>($D$3 * E43)/$D$12</f>
        <v>83.325000000000003</v>
      </c>
      <c r="C43" s="3">
        <f>($D$3 * E43)/$D$13</f>
        <v>9.4330188679245275</v>
      </c>
      <c r="D43" s="3">
        <f>($D$3 * E43)/$D$14</f>
        <v>13.122047244094489</v>
      </c>
      <c r="E43">
        <v>15</v>
      </c>
      <c r="F43" s="2">
        <f t="shared" ref="F43:F61" si="7">260*E43</f>
        <v>3900</v>
      </c>
      <c r="G43" s="2">
        <f t="shared" ref="G43:G61" si="8">E43*221</f>
        <v>3315</v>
      </c>
    </row>
    <row r="44" spans="1:24" x14ac:dyDescent="0.2">
      <c r="A44" s="3">
        <f t="shared" ref="A44:A61" si="9">($D$3 * E44)/$D$11</f>
        <v>26.313157894736843</v>
      </c>
      <c r="B44" s="3">
        <f t="shared" ref="B44:B61" si="10">($D$3 * E44)/$D$12</f>
        <v>166.65</v>
      </c>
      <c r="C44" s="3">
        <f t="shared" ref="C44:C61" si="11">($D$3 * E44)/$D$13</f>
        <v>18.866037735849055</v>
      </c>
      <c r="D44" s="3">
        <f t="shared" ref="D44:D61" si="12">($D$3 * E44)/$D$14</f>
        <v>26.244094488188978</v>
      </c>
      <c r="E44">
        <v>30</v>
      </c>
      <c r="F44" s="2">
        <f t="shared" si="7"/>
        <v>7800</v>
      </c>
      <c r="G44" s="2">
        <f t="shared" si="8"/>
        <v>6630</v>
      </c>
    </row>
    <row r="45" spans="1:24" x14ac:dyDescent="0.2">
      <c r="A45" s="10">
        <f t="shared" si="9"/>
        <v>39.469736842105263</v>
      </c>
      <c r="B45" s="3">
        <f t="shared" si="10"/>
        <v>249.97499999999999</v>
      </c>
      <c r="C45" s="3">
        <f t="shared" si="11"/>
        <v>28.299056603773586</v>
      </c>
      <c r="D45" s="3">
        <f t="shared" si="12"/>
        <v>39.366141732283467</v>
      </c>
      <c r="E45">
        <v>45</v>
      </c>
      <c r="F45" s="2">
        <f t="shared" si="7"/>
        <v>11700</v>
      </c>
      <c r="G45" s="2">
        <f t="shared" si="8"/>
        <v>9945</v>
      </c>
    </row>
    <row r="46" spans="1:24" x14ac:dyDescent="0.2">
      <c r="A46" s="11">
        <f t="shared" si="9"/>
        <v>52.626315789473686</v>
      </c>
      <c r="B46" s="3">
        <f t="shared" si="10"/>
        <v>333.3</v>
      </c>
      <c r="C46" s="3">
        <f t="shared" si="11"/>
        <v>37.73207547169811</v>
      </c>
      <c r="D46" s="3">
        <f t="shared" si="12"/>
        <v>52.488188976377955</v>
      </c>
      <c r="E46">
        <v>60</v>
      </c>
      <c r="F46" s="2">
        <f t="shared" si="7"/>
        <v>15600</v>
      </c>
      <c r="G46" s="2">
        <f t="shared" si="8"/>
        <v>13260</v>
      </c>
    </row>
    <row r="47" spans="1:24" x14ac:dyDescent="0.2">
      <c r="A47" s="3">
        <f t="shared" si="9"/>
        <v>65.78289473684211</v>
      </c>
      <c r="B47" s="3">
        <f t="shared" si="10"/>
        <v>416.625</v>
      </c>
      <c r="C47" s="3">
        <f t="shared" si="11"/>
        <v>47.165094339622641</v>
      </c>
      <c r="D47" s="3">
        <f t="shared" si="12"/>
        <v>65.610236220472444</v>
      </c>
      <c r="E47">
        <v>75</v>
      </c>
      <c r="F47" s="2">
        <f t="shared" si="7"/>
        <v>19500</v>
      </c>
      <c r="G47" s="2">
        <f t="shared" si="8"/>
        <v>16575</v>
      </c>
    </row>
    <row r="48" spans="1:24" x14ac:dyDescent="0.2">
      <c r="A48" s="3">
        <f t="shared" si="9"/>
        <v>78.939473684210526</v>
      </c>
      <c r="B48" s="3">
        <f t="shared" si="10"/>
        <v>499.95</v>
      </c>
      <c r="C48" s="3">
        <f t="shared" si="11"/>
        <v>56.598113207547172</v>
      </c>
      <c r="D48" s="3">
        <f t="shared" si="12"/>
        <v>78.732283464566933</v>
      </c>
      <c r="E48">
        <v>90</v>
      </c>
      <c r="F48" s="2">
        <f t="shared" si="7"/>
        <v>23400</v>
      </c>
      <c r="G48" s="2">
        <f t="shared" si="8"/>
        <v>19890</v>
      </c>
    </row>
    <row r="49" spans="1:7" x14ac:dyDescent="0.2">
      <c r="A49" s="3">
        <f t="shared" si="9"/>
        <v>92.096052631578942</v>
      </c>
      <c r="B49" s="3">
        <f t="shared" si="10"/>
        <v>583.27499999999998</v>
      </c>
      <c r="C49" s="3">
        <f t="shared" si="11"/>
        <v>66.031132075471703</v>
      </c>
      <c r="D49" s="3">
        <f t="shared" si="12"/>
        <v>91.854330708661422</v>
      </c>
      <c r="E49">
        <v>105</v>
      </c>
      <c r="F49" s="2">
        <f t="shared" si="7"/>
        <v>27300</v>
      </c>
      <c r="G49" s="2">
        <f t="shared" si="8"/>
        <v>23205</v>
      </c>
    </row>
    <row r="50" spans="1:7" x14ac:dyDescent="0.2">
      <c r="A50" s="3">
        <f t="shared" si="9"/>
        <v>105.25263157894737</v>
      </c>
      <c r="B50" s="3">
        <f t="shared" si="10"/>
        <v>666.6</v>
      </c>
      <c r="C50" s="3">
        <f t="shared" si="11"/>
        <v>75.46415094339622</v>
      </c>
      <c r="D50" s="3">
        <f t="shared" si="12"/>
        <v>104.97637795275591</v>
      </c>
      <c r="E50">
        <v>120</v>
      </c>
      <c r="F50" s="2">
        <f t="shared" si="7"/>
        <v>31200</v>
      </c>
      <c r="G50" s="2">
        <f t="shared" si="8"/>
        <v>26520</v>
      </c>
    </row>
    <row r="51" spans="1:7" x14ac:dyDescent="0.2">
      <c r="A51" s="3">
        <f t="shared" si="9"/>
        <v>118.40921052631579</v>
      </c>
      <c r="B51" s="3">
        <f t="shared" si="10"/>
        <v>749.92499999999995</v>
      </c>
      <c r="C51" s="3">
        <f t="shared" si="11"/>
        <v>84.897169811320751</v>
      </c>
      <c r="D51" s="3">
        <f t="shared" si="12"/>
        <v>118.0984251968504</v>
      </c>
      <c r="E51">
        <v>135</v>
      </c>
      <c r="F51" s="2">
        <f t="shared" si="7"/>
        <v>35100</v>
      </c>
      <c r="G51" s="2">
        <f t="shared" si="8"/>
        <v>29835</v>
      </c>
    </row>
    <row r="52" spans="1:7" x14ac:dyDescent="0.2">
      <c r="A52" s="3">
        <f t="shared" si="9"/>
        <v>131.56578947368422</v>
      </c>
      <c r="B52" s="3">
        <f t="shared" si="10"/>
        <v>833.25</v>
      </c>
      <c r="C52" s="3">
        <f t="shared" si="11"/>
        <v>94.330188679245282</v>
      </c>
      <c r="D52" s="3">
        <f t="shared" si="12"/>
        <v>131.22047244094489</v>
      </c>
      <c r="E52">
        <v>150</v>
      </c>
      <c r="F52" s="2">
        <f t="shared" si="7"/>
        <v>39000</v>
      </c>
      <c r="G52" s="2">
        <f t="shared" si="8"/>
        <v>33150</v>
      </c>
    </row>
    <row r="53" spans="1:7" x14ac:dyDescent="0.2">
      <c r="A53" s="3">
        <f t="shared" si="9"/>
        <v>144.72236842105264</v>
      </c>
      <c r="B53" s="3">
        <f t="shared" si="10"/>
        <v>916.57500000000005</v>
      </c>
      <c r="C53" s="3">
        <f t="shared" si="11"/>
        <v>103.76320754716981</v>
      </c>
      <c r="D53" s="3">
        <f t="shared" si="12"/>
        <v>144.34251968503938</v>
      </c>
      <c r="E53">
        <v>165</v>
      </c>
      <c r="F53" s="2">
        <f t="shared" si="7"/>
        <v>42900</v>
      </c>
      <c r="G53" s="2">
        <f t="shared" si="8"/>
        <v>36465</v>
      </c>
    </row>
    <row r="54" spans="1:7" x14ac:dyDescent="0.2">
      <c r="A54" s="3">
        <f t="shared" si="9"/>
        <v>157.87894736842105</v>
      </c>
      <c r="B54" s="3">
        <f t="shared" si="10"/>
        <v>999.9</v>
      </c>
      <c r="C54" s="3">
        <f t="shared" si="11"/>
        <v>113.19622641509434</v>
      </c>
      <c r="D54" s="3">
        <f t="shared" si="12"/>
        <v>157.46456692913387</v>
      </c>
      <c r="E54">
        <v>180</v>
      </c>
      <c r="F54" s="2">
        <f t="shared" si="7"/>
        <v>46800</v>
      </c>
      <c r="G54" s="2">
        <f t="shared" si="8"/>
        <v>39780</v>
      </c>
    </row>
    <row r="55" spans="1:7" x14ac:dyDescent="0.2">
      <c r="A55" s="3">
        <f t="shared" si="9"/>
        <v>171.03552631578947</v>
      </c>
      <c r="B55" s="3">
        <f t="shared" si="10"/>
        <v>1083.2249999999999</v>
      </c>
      <c r="C55" s="3">
        <f t="shared" si="11"/>
        <v>122.62924528301886</v>
      </c>
      <c r="D55" s="3">
        <f t="shared" si="12"/>
        <v>170.58661417322836</v>
      </c>
      <c r="E55">
        <v>195</v>
      </c>
      <c r="F55" s="2">
        <f t="shared" si="7"/>
        <v>50700</v>
      </c>
      <c r="G55" s="2">
        <f t="shared" si="8"/>
        <v>43095</v>
      </c>
    </row>
    <row r="56" spans="1:7" x14ac:dyDescent="0.2">
      <c r="A56" s="3">
        <f t="shared" si="9"/>
        <v>184.19210526315788</v>
      </c>
      <c r="B56" s="3">
        <f t="shared" si="10"/>
        <v>1166.55</v>
      </c>
      <c r="C56" s="3">
        <f t="shared" si="11"/>
        <v>132.06226415094341</v>
      </c>
      <c r="D56" s="3">
        <f t="shared" si="12"/>
        <v>183.70866141732284</v>
      </c>
      <c r="E56">
        <v>210</v>
      </c>
      <c r="F56" s="2">
        <f t="shared" si="7"/>
        <v>54600</v>
      </c>
      <c r="G56" s="2">
        <f t="shared" si="8"/>
        <v>46410</v>
      </c>
    </row>
    <row r="57" spans="1:7" x14ac:dyDescent="0.2">
      <c r="A57" s="3">
        <f t="shared" si="9"/>
        <v>197.34868421052633</v>
      </c>
      <c r="B57" s="3">
        <f t="shared" si="10"/>
        <v>1249.875</v>
      </c>
      <c r="C57" s="3">
        <f t="shared" si="11"/>
        <v>141.49528301886792</v>
      </c>
      <c r="D57" s="3">
        <f t="shared" si="12"/>
        <v>196.83070866141733</v>
      </c>
      <c r="E57">
        <v>225</v>
      </c>
      <c r="F57" s="2">
        <f t="shared" si="7"/>
        <v>58500</v>
      </c>
      <c r="G57" s="2">
        <f t="shared" si="8"/>
        <v>49725</v>
      </c>
    </row>
    <row r="58" spans="1:7" x14ac:dyDescent="0.2">
      <c r="A58" s="3">
        <f t="shared" si="9"/>
        <v>210.50526315789475</v>
      </c>
      <c r="B58" s="3">
        <f t="shared" si="10"/>
        <v>1333.2</v>
      </c>
      <c r="C58" s="3">
        <f t="shared" si="11"/>
        <v>150.92830188679244</v>
      </c>
      <c r="D58" s="3">
        <f t="shared" si="12"/>
        <v>209.95275590551182</v>
      </c>
      <c r="E58">
        <v>240</v>
      </c>
      <c r="F58" s="2">
        <f t="shared" si="7"/>
        <v>62400</v>
      </c>
      <c r="G58" s="2">
        <f t="shared" si="8"/>
        <v>53040</v>
      </c>
    </row>
    <row r="59" spans="1:7" x14ac:dyDescent="0.2">
      <c r="A59" s="3">
        <f t="shared" si="9"/>
        <v>223.66184210526316</v>
      </c>
      <c r="B59" s="3">
        <f t="shared" si="10"/>
        <v>1416.5250000000001</v>
      </c>
      <c r="C59" s="3">
        <f t="shared" si="11"/>
        <v>160.36132075471698</v>
      </c>
      <c r="D59" s="3">
        <f t="shared" si="12"/>
        <v>223.07480314960631</v>
      </c>
      <c r="E59">
        <v>255</v>
      </c>
      <c r="F59" s="2">
        <f t="shared" si="7"/>
        <v>66300</v>
      </c>
      <c r="G59" s="2">
        <f t="shared" si="8"/>
        <v>56355</v>
      </c>
    </row>
    <row r="60" spans="1:7" x14ac:dyDescent="0.2">
      <c r="A60" s="3">
        <f t="shared" si="9"/>
        <v>236.81842105263158</v>
      </c>
      <c r="B60" s="3">
        <f t="shared" si="10"/>
        <v>1499.85</v>
      </c>
      <c r="C60" s="3">
        <f t="shared" si="11"/>
        <v>169.7943396226415</v>
      </c>
      <c r="D60" s="3">
        <f t="shared" si="12"/>
        <v>236.1968503937008</v>
      </c>
      <c r="E60">
        <v>270</v>
      </c>
      <c r="F60" s="2">
        <f t="shared" si="7"/>
        <v>70200</v>
      </c>
      <c r="G60" s="2">
        <f t="shared" si="8"/>
        <v>59670</v>
      </c>
    </row>
    <row r="61" spans="1:7" x14ac:dyDescent="0.2">
      <c r="A61" s="3">
        <f t="shared" si="9"/>
        <v>249.97499999999999</v>
      </c>
      <c r="B61" s="3">
        <f t="shared" si="10"/>
        <v>1583.175</v>
      </c>
      <c r="C61" s="3">
        <f t="shared" si="11"/>
        <v>179.22735849056605</v>
      </c>
      <c r="D61" s="3">
        <f t="shared" si="12"/>
        <v>249.31889763779529</v>
      </c>
      <c r="E61">
        <v>285</v>
      </c>
      <c r="F61" s="2">
        <f t="shared" si="7"/>
        <v>74100</v>
      </c>
      <c r="G61" s="2">
        <f t="shared" si="8"/>
        <v>62985</v>
      </c>
    </row>
    <row r="62" spans="1:7" x14ac:dyDescent="0.2">
      <c r="A62" s="3"/>
      <c r="B62" s="3"/>
      <c r="C62" s="3"/>
      <c r="D62" s="3"/>
    </row>
  </sheetData>
  <mergeCells count="7">
    <mergeCell ref="A41:D41"/>
    <mergeCell ref="F41:G41"/>
    <mergeCell ref="B1:D1"/>
    <mergeCell ref="B9:D9"/>
    <mergeCell ref="A17:D17"/>
    <mergeCell ref="F17:G17"/>
    <mergeCell ref="G9:H9"/>
  </mergeCells>
  <hyperlinks>
    <hyperlink ref="E3" r:id="rId1" xr:uid="{B71BAD3C-3B39-448D-B771-E2FE365EE5DA}"/>
  </hyperlinks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Soh</dc:creator>
  <cp:keywords/>
  <dc:description/>
  <cp:lastModifiedBy>Julian Soh</cp:lastModifiedBy>
  <cp:revision/>
  <dcterms:created xsi:type="dcterms:W3CDTF">2024-12-04T16:43:26Z</dcterms:created>
  <dcterms:modified xsi:type="dcterms:W3CDTF">2026-03-13T16:27:32Z</dcterms:modified>
  <cp:category/>
  <cp:contentStatus/>
</cp:coreProperties>
</file>